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dirlei Guilherme\Desktop\controle_de_estoque_basico\"/>
    </mc:Choice>
  </mc:AlternateContent>
  <xr:revisionPtr revIDLastSave="0" documentId="8_{3C57ED36-687F-4B74-95E0-01E5F134A0FA}" xr6:coauthVersionLast="47" xr6:coauthVersionMax="47" xr10:uidLastSave="{00000000-0000-0000-0000-000000000000}"/>
  <bookViews>
    <workbookView xWindow="20280" yWindow="-135" windowWidth="20730" windowHeight="11160" activeTab="1" xr2:uid="{FB90DC12-CE7E-421E-A7F9-F06FD8601840}"/>
  </bookViews>
  <sheets>
    <sheet name="Entrada e Saída" sheetId="1" r:id="rId1"/>
    <sheet name="Sald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" i="2" l="1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4" i="2"/>
  <c r="D18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4" i="2"/>
  <c r="C5" i="2"/>
  <c r="C6" i="2"/>
  <c r="C7" i="2"/>
  <c r="C8" i="2"/>
  <c r="C9" i="2"/>
  <c r="C10" i="2"/>
  <c r="E10" i="2" s="1"/>
  <c r="C11" i="2"/>
  <c r="E11" i="2" s="1"/>
  <c r="C12" i="2"/>
  <c r="E12" i="2" s="1"/>
  <c r="C13" i="2"/>
  <c r="C14" i="2"/>
  <c r="C15" i="2"/>
  <c r="C16" i="2"/>
  <c r="C17" i="2"/>
  <c r="C18" i="2"/>
  <c r="C4" i="2"/>
  <c r="E4" i="2" s="1"/>
  <c r="E18" i="2" l="1"/>
  <c r="E17" i="2"/>
  <c r="E16" i="2"/>
  <c r="E15" i="2"/>
  <c r="E14" i="2"/>
  <c r="E13" i="2"/>
  <c r="E9" i="2"/>
  <c r="E8" i="2"/>
  <c r="E7" i="2"/>
  <c r="E5" i="2"/>
  <c r="E6" i="2"/>
</calcChain>
</file>

<file path=xl/sharedStrings.xml><?xml version="1.0" encoding="utf-8"?>
<sst xmlns="http://schemas.openxmlformats.org/spreadsheetml/2006/main" count="69" uniqueCount="25">
  <si>
    <t>Produto</t>
  </si>
  <si>
    <t xml:space="preserve">Status </t>
  </si>
  <si>
    <t>Quantidade</t>
  </si>
  <si>
    <t>Data</t>
  </si>
  <si>
    <t>Entrada</t>
  </si>
  <si>
    <t>microSDHC 2GB</t>
  </si>
  <si>
    <t>microSDHC 4GB</t>
  </si>
  <si>
    <t>microSDHC 8GB</t>
  </si>
  <si>
    <t>microSDHC 16GB</t>
  </si>
  <si>
    <t>microSDHC 32GB</t>
  </si>
  <si>
    <t>Produtos</t>
  </si>
  <si>
    <t>Saída</t>
  </si>
  <si>
    <t>Saldo</t>
  </si>
  <si>
    <t>Cabo USB A</t>
  </si>
  <si>
    <t>Cabo USB B</t>
  </si>
  <si>
    <t>Cabo USB C</t>
  </si>
  <si>
    <t>Cabo USB Mini</t>
  </si>
  <si>
    <t>Carregador Parede</t>
  </si>
  <si>
    <t>Carregador Indução</t>
  </si>
  <si>
    <t>Carregador Power Bank</t>
  </si>
  <si>
    <t>Carregador Veícular</t>
  </si>
  <si>
    <t>Capa Celular Samsung</t>
  </si>
  <si>
    <t>Capa Celular iPhone 17 Pro</t>
  </si>
  <si>
    <t>Status</t>
  </si>
  <si>
    <t>Mínimo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</si>
</sst>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/>
    <xf numFmtId="0" fontId="1" fillId="2" borderId="0" xfId="0" applyFont="1" applyFill="1" applyAlignment="1">
      <alignment horizontal="center" vertical="center"/>
    </xf>
    <xf numFmtId="9" fontId="0" fillId="0" borderId="0" xfId="0" applyNumberFormat="1"/>
  </cellXfs>
  <cellStyles count="1">
    <cellStyle name="Normal" xfId="0" builtinId="0"/>
  </cellStyles>
  <dxfs count="4">
    <dxf>
      <alignment horizontal="general" vertical="center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6F923C0-43EC-4309-9C6B-28398D46868F}" name="Tabela5" displayName="Tabela5" ref="B2:E24" totalsRowShown="0" headerRowDxfId="3">
  <autoFilter ref="B2:E24" xr:uid="{36F923C0-43EC-4309-9C6B-28398D46868F}"/>
  <tableColumns count="4">
    <tableColumn id="1" xr3:uid="{9A824ECF-4997-4FB3-8467-CA5F746211D1}" name="Data" dataDxfId="2"/>
    <tableColumn id="2" xr3:uid="{6F519A01-4485-4303-A5F9-1109AE4DC2DA}" name="Produto" dataDxfId="1"/>
    <tableColumn id="3" xr3:uid="{F0E480FA-F451-40F8-AC3B-1DC003CAD38F}" name="Status " dataDxfId="0"/>
    <tableColumn id="4" xr3:uid="{853DA4E0-565B-4E84-ACE2-FAB8B85CA4C3}" name="Quantidade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AD64A-E144-47FE-A0E9-95F7C892ACF1}">
  <dimension ref="B2:F24"/>
  <sheetViews>
    <sheetView topLeftCell="A4" zoomScaleNormal="100" workbookViewId="0">
      <selection activeCell="E25" sqref="E25"/>
    </sheetView>
  </sheetViews>
  <sheetFormatPr defaultRowHeight="15" x14ac:dyDescent="0.25"/>
  <cols>
    <col min="2" max="2" width="10.7109375" bestFit="1" customWidth="1"/>
    <col min="3" max="3" width="25" bestFit="1" customWidth="1"/>
    <col min="4" max="4" width="11.42578125" bestFit="1" customWidth="1"/>
    <col min="5" max="5" width="16" style="2" bestFit="1" customWidth="1"/>
    <col min="6" max="6" width="16" bestFit="1" customWidth="1"/>
  </cols>
  <sheetData>
    <row r="2" spans="2:6" x14ac:dyDescent="0.25">
      <c r="B2" s="3" t="s">
        <v>3</v>
      </c>
      <c r="C2" s="3" t="s">
        <v>0</v>
      </c>
      <c r="D2" s="3" t="s">
        <v>1</v>
      </c>
      <c r="E2" s="3" t="s">
        <v>2</v>
      </c>
      <c r="F2" s="1"/>
    </row>
    <row r="3" spans="2:6" x14ac:dyDescent="0.25">
      <c r="B3" s="4">
        <v>46315</v>
      </c>
      <c r="C3" s="5" t="s">
        <v>13</v>
      </c>
      <c r="D3" s="2" t="s">
        <v>4</v>
      </c>
      <c r="E3">
        <v>15</v>
      </c>
    </row>
    <row r="4" spans="2:6" x14ac:dyDescent="0.25">
      <c r="B4" s="4">
        <v>46315</v>
      </c>
      <c r="C4" s="5" t="s">
        <v>14</v>
      </c>
      <c r="D4" s="2" t="s">
        <v>4</v>
      </c>
      <c r="E4">
        <v>25</v>
      </c>
    </row>
    <row r="5" spans="2:6" x14ac:dyDescent="0.25">
      <c r="B5" s="4">
        <v>46315</v>
      </c>
      <c r="C5" s="5" t="s">
        <v>15</v>
      </c>
      <c r="D5" s="2" t="s">
        <v>4</v>
      </c>
      <c r="E5">
        <v>50</v>
      </c>
    </row>
    <row r="6" spans="2:6" x14ac:dyDescent="0.25">
      <c r="B6" s="4">
        <v>46317</v>
      </c>
      <c r="C6" s="5" t="s">
        <v>16</v>
      </c>
      <c r="D6" s="2" t="s">
        <v>4</v>
      </c>
      <c r="E6">
        <v>15</v>
      </c>
    </row>
    <row r="7" spans="2:6" x14ac:dyDescent="0.25">
      <c r="B7" s="4">
        <v>46318</v>
      </c>
      <c r="C7" s="5" t="s">
        <v>17</v>
      </c>
      <c r="D7" s="2" t="s">
        <v>4</v>
      </c>
      <c r="E7">
        <v>60</v>
      </c>
    </row>
    <row r="8" spans="2:6" x14ac:dyDescent="0.25">
      <c r="B8" s="4">
        <v>46318</v>
      </c>
      <c r="C8" s="5" t="s">
        <v>18</v>
      </c>
      <c r="D8" s="2" t="s">
        <v>4</v>
      </c>
      <c r="E8">
        <v>15</v>
      </c>
    </row>
    <row r="9" spans="2:6" x14ac:dyDescent="0.25">
      <c r="B9" s="4">
        <v>46318</v>
      </c>
      <c r="C9" s="5" t="s">
        <v>19</v>
      </c>
      <c r="D9" s="2" t="s">
        <v>4</v>
      </c>
      <c r="E9">
        <v>30</v>
      </c>
    </row>
    <row r="10" spans="2:6" x14ac:dyDescent="0.25">
      <c r="B10" s="4">
        <v>46318</v>
      </c>
      <c r="C10" s="5" t="s">
        <v>20</v>
      </c>
      <c r="D10" s="2" t="s">
        <v>4</v>
      </c>
      <c r="E10">
        <v>50</v>
      </c>
    </row>
    <row r="11" spans="2:6" x14ac:dyDescent="0.25">
      <c r="B11" s="4">
        <v>46318</v>
      </c>
      <c r="C11" s="5" t="s">
        <v>21</v>
      </c>
      <c r="D11" s="2" t="s">
        <v>4</v>
      </c>
      <c r="E11">
        <v>20</v>
      </c>
    </row>
    <row r="12" spans="2:6" x14ac:dyDescent="0.25">
      <c r="B12" s="4">
        <v>46321</v>
      </c>
      <c r="C12" s="5" t="s">
        <v>22</v>
      </c>
      <c r="D12" s="2" t="s">
        <v>4</v>
      </c>
      <c r="E12">
        <v>25</v>
      </c>
    </row>
    <row r="13" spans="2:6" x14ac:dyDescent="0.25">
      <c r="B13" s="4">
        <v>46323</v>
      </c>
      <c r="C13" s="5" t="s">
        <v>5</v>
      </c>
      <c r="D13" s="2" t="s">
        <v>4</v>
      </c>
      <c r="E13">
        <v>30</v>
      </c>
    </row>
    <row r="14" spans="2:6" x14ac:dyDescent="0.25">
      <c r="B14" s="4">
        <v>46323</v>
      </c>
      <c r="C14" s="5" t="s">
        <v>6</v>
      </c>
      <c r="D14" s="2" t="s">
        <v>4</v>
      </c>
      <c r="E14">
        <v>30</v>
      </c>
    </row>
    <row r="15" spans="2:6" x14ac:dyDescent="0.25">
      <c r="B15" s="4">
        <v>46323</v>
      </c>
      <c r="C15" s="5" t="s">
        <v>7</v>
      </c>
      <c r="D15" s="2" t="s">
        <v>4</v>
      </c>
      <c r="E15">
        <v>25</v>
      </c>
    </row>
    <row r="16" spans="2:6" x14ac:dyDescent="0.25">
      <c r="B16" s="4">
        <v>46323</v>
      </c>
      <c r="C16" s="5" t="s">
        <v>8</v>
      </c>
      <c r="D16" s="2" t="s">
        <v>4</v>
      </c>
      <c r="E16">
        <v>25</v>
      </c>
    </row>
    <row r="17" spans="2:5" x14ac:dyDescent="0.25">
      <c r="B17" s="4">
        <v>46323</v>
      </c>
      <c r="C17" s="5" t="s">
        <v>9</v>
      </c>
      <c r="D17" s="2" t="s">
        <v>4</v>
      </c>
      <c r="E17">
        <v>25</v>
      </c>
    </row>
    <row r="18" spans="2:5" x14ac:dyDescent="0.25">
      <c r="B18" s="4">
        <v>46324</v>
      </c>
      <c r="C18" s="5" t="s">
        <v>20</v>
      </c>
      <c r="D18" s="2" t="s">
        <v>11</v>
      </c>
      <c r="E18">
        <v>2</v>
      </c>
    </row>
    <row r="19" spans="2:5" x14ac:dyDescent="0.25">
      <c r="B19" s="4">
        <v>46324</v>
      </c>
      <c r="C19" s="5" t="s">
        <v>16</v>
      </c>
      <c r="D19" s="2" t="s">
        <v>4</v>
      </c>
      <c r="E19" s="2">
        <v>10</v>
      </c>
    </row>
    <row r="20" spans="2:5" x14ac:dyDescent="0.25">
      <c r="B20" s="4">
        <v>46324</v>
      </c>
      <c r="C20" s="5" t="s">
        <v>13</v>
      </c>
      <c r="D20" s="2" t="s">
        <v>11</v>
      </c>
      <c r="E20" s="2">
        <v>3</v>
      </c>
    </row>
    <row r="21" spans="2:5" x14ac:dyDescent="0.25">
      <c r="B21" s="4">
        <v>46325</v>
      </c>
      <c r="C21" s="5" t="s">
        <v>14</v>
      </c>
      <c r="D21" s="2" t="s">
        <v>11</v>
      </c>
      <c r="E21" s="2">
        <v>4</v>
      </c>
    </row>
    <row r="22" spans="2:5" x14ac:dyDescent="0.25">
      <c r="B22" s="4">
        <v>46325</v>
      </c>
      <c r="C22" s="5" t="s">
        <v>15</v>
      </c>
      <c r="D22" s="2" t="s">
        <v>11</v>
      </c>
      <c r="E22" s="2">
        <v>10</v>
      </c>
    </row>
    <row r="23" spans="2:5" x14ac:dyDescent="0.25">
      <c r="B23" s="4">
        <v>46327</v>
      </c>
      <c r="C23" s="5" t="s">
        <v>9</v>
      </c>
      <c r="D23" s="2" t="s">
        <v>11</v>
      </c>
      <c r="E23" s="2">
        <v>21</v>
      </c>
    </row>
    <row r="24" spans="2:5" x14ac:dyDescent="0.25">
      <c r="B24" s="4">
        <v>46023</v>
      </c>
      <c r="C24" s="5" t="s">
        <v>18</v>
      </c>
      <c r="D24" s="2" t="s">
        <v>11</v>
      </c>
      <c r="E24" s="2">
        <v>12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C6A7C-358A-4193-853C-B78C12F1FBEE}">
  <dimension ref="B3:I18"/>
  <sheetViews>
    <sheetView tabSelected="1" zoomScale="130" zoomScaleNormal="130" workbookViewId="0">
      <selection activeCell="K9" sqref="K9"/>
    </sheetView>
  </sheetViews>
  <sheetFormatPr defaultRowHeight="15" x14ac:dyDescent="0.25"/>
  <cols>
    <col min="2" max="2" width="25" bestFit="1" customWidth="1"/>
  </cols>
  <sheetData>
    <row r="3" spans="2:9" x14ac:dyDescent="0.25">
      <c r="B3" s="8" t="s">
        <v>10</v>
      </c>
      <c r="C3" s="8" t="s">
        <v>4</v>
      </c>
      <c r="D3" s="8" t="s">
        <v>11</v>
      </c>
      <c r="E3" s="8" t="s">
        <v>12</v>
      </c>
      <c r="F3" s="8" t="s">
        <v>23</v>
      </c>
      <c r="H3" s="8" t="s">
        <v>24</v>
      </c>
      <c r="I3" s="9">
        <v>0.2</v>
      </c>
    </row>
    <row r="4" spans="2:9" x14ac:dyDescent="0.25">
      <c r="B4" s="6" t="s">
        <v>13</v>
      </c>
      <c r="C4" s="7">
        <f>SUMIFS('Entrada e Saída'!E:E,'Entrada e Saída'!D:D,Saldo!$C$3,'Entrada e Saída'!C:C,Saldo!$B4)</f>
        <v>15</v>
      </c>
      <c r="D4" s="7">
        <f>SUMIFS('Entrada e Saída'!E:E,'Entrada e Saída'!D:D,Saldo!$D$3,'Entrada e Saída'!C:C,Saldo!$B4)</f>
        <v>3</v>
      </c>
      <c r="E4" s="7">
        <f>C4-D4</f>
        <v>12</v>
      </c>
      <c r="F4" s="7" t="str">
        <f>IF(E4&lt;C4*$I$3,"Comprar","Ok")</f>
        <v>Ok</v>
      </c>
      <c r="H4" s="7"/>
    </row>
    <row r="5" spans="2:9" x14ac:dyDescent="0.25">
      <c r="B5" s="6" t="s">
        <v>14</v>
      </c>
      <c r="C5" s="7">
        <f>SUMIFS('Entrada e Saída'!E:E,'Entrada e Saída'!D:D,Saldo!$C$3,'Entrada e Saída'!C:C,Saldo!$B5)</f>
        <v>25</v>
      </c>
      <c r="D5" s="7">
        <f>SUMIFS('Entrada e Saída'!E:E,'Entrada e Saída'!D:D,Saldo!$D$3,'Entrada e Saída'!C:C,Saldo!$B5)</f>
        <v>4</v>
      </c>
      <c r="E5" s="7">
        <f t="shared" ref="E5:E18" si="0">C5-D5</f>
        <v>21</v>
      </c>
      <c r="F5" s="7" t="str">
        <f t="shared" ref="F5:F18" si="1">IF(E5&lt;C5*$I$3,"Comprar","Ok")</f>
        <v>Ok</v>
      </c>
      <c r="H5" s="7"/>
    </row>
    <row r="6" spans="2:9" x14ac:dyDescent="0.25">
      <c r="B6" s="6" t="s">
        <v>15</v>
      </c>
      <c r="C6" s="7">
        <f>SUMIFS('Entrada e Saída'!E:E,'Entrada e Saída'!D:D,Saldo!$C$3,'Entrada e Saída'!C:C,Saldo!$B6)</f>
        <v>50</v>
      </c>
      <c r="D6" s="7">
        <f>SUMIFS('Entrada e Saída'!E:E,'Entrada e Saída'!D:D,Saldo!$D$3,'Entrada e Saída'!C:C,Saldo!$B6)</f>
        <v>10</v>
      </c>
      <c r="E6" s="7">
        <f t="shared" si="0"/>
        <v>40</v>
      </c>
      <c r="F6" s="7" t="str">
        <f t="shared" si="1"/>
        <v>Ok</v>
      </c>
      <c r="H6" s="7"/>
    </row>
    <row r="7" spans="2:9" x14ac:dyDescent="0.25">
      <c r="B7" s="6" t="s">
        <v>16</v>
      </c>
      <c r="C7" s="7">
        <f>SUMIFS('Entrada e Saída'!E:E,'Entrada e Saída'!D:D,Saldo!$C$3,'Entrada e Saída'!C:C,Saldo!$B7)</f>
        <v>25</v>
      </c>
      <c r="D7" s="7">
        <f>SUMIFS('Entrada e Saída'!E:E,'Entrada e Saída'!D:D,Saldo!$D$3,'Entrada e Saída'!C:C,Saldo!$B7)</f>
        <v>0</v>
      </c>
      <c r="E7" s="7">
        <f t="shared" si="0"/>
        <v>25</v>
      </c>
      <c r="F7" s="7" t="str">
        <f t="shared" si="1"/>
        <v>Ok</v>
      </c>
      <c r="H7" s="7"/>
    </row>
    <row r="8" spans="2:9" x14ac:dyDescent="0.25">
      <c r="B8" s="6" t="s">
        <v>17</v>
      </c>
      <c r="C8" s="7">
        <f>SUMIFS('Entrada e Saída'!E:E,'Entrada e Saída'!D:D,Saldo!$C$3,'Entrada e Saída'!C:C,Saldo!$B8)</f>
        <v>60</v>
      </c>
      <c r="D8" s="7">
        <f>SUMIFS('Entrada e Saída'!E:E,'Entrada e Saída'!D:D,Saldo!$D$3,'Entrada e Saída'!C:C,Saldo!$B8)</f>
        <v>0</v>
      </c>
      <c r="E8" s="7">
        <f t="shared" si="0"/>
        <v>60</v>
      </c>
      <c r="F8" s="7" t="str">
        <f t="shared" si="1"/>
        <v>Ok</v>
      </c>
      <c r="H8" s="7"/>
    </row>
    <row r="9" spans="2:9" x14ac:dyDescent="0.25">
      <c r="B9" s="6" t="s">
        <v>18</v>
      </c>
      <c r="C9" s="7">
        <f>SUMIFS('Entrada e Saída'!E:E,'Entrada e Saída'!D:D,Saldo!$C$3,'Entrada e Saída'!C:C,Saldo!$B9)</f>
        <v>15</v>
      </c>
      <c r="D9" s="7">
        <f>SUMIFS('Entrada e Saída'!E:E,'Entrada e Saída'!D:D,Saldo!$D$3,'Entrada e Saída'!C:C,Saldo!$B9)</f>
        <v>12</v>
      </c>
      <c r="E9" s="7">
        <f t="shared" si="0"/>
        <v>3</v>
      </c>
      <c r="F9" s="7" t="str">
        <f t="shared" si="1"/>
        <v>Ok</v>
      </c>
      <c r="H9" s="7"/>
    </row>
    <row r="10" spans="2:9" x14ac:dyDescent="0.25">
      <c r="B10" s="6" t="s">
        <v>19</v>
      </c>
      <c r="C10" s="7">
        <f>SUMIFS('Entrada e Saída'!E:E,'Entrada e Saída'!D:D,Saldo!$C$3,'Entrada e Saída'!C:C,Saldo!$B10)</f>
        <v>30</v>
      </c>
      <c r="D10" s="7">
        <f>SUMIFS('Entrada e Saída'!E:E,'Entrada e Saída'!D:D,Saldo!$D$3,'Entrada e Saída'!C:C,Saldo!$B10)</f>
        <v>0</v>
      </c>
      <c r="E10" s="7">
        <f t="shared" si="0"/>
        <v>30</v>
      </c>
      <c r="F10" s="7" t="str">
        <f t="shared" si="1"/>
        <v>Ok</v>
      </c>
      <c r="H10" s="7"/>
    </row>
    <row r="11" spans="2:9" x14ac:dyDescent="0.25">
      <c r="B11" s="6" t="s">
        <v>20</v>
      </c>
      <c r="C11" s="7">
        <f>SUMIFS('Entrada e Saída'!E:E,'Entrada e Saída'!D:D,Saldo!$C$3,'Entrada e Saída'!C:C,Saldo!$B11)</f>
        <v>50</v>
      </c>
      <c r="D11" s="7">
        <f>SUMIFS('Entrada e Saída'!E:E,'Entrada e Saída'!D:D,Saldo!$D$3,'Entrada e Saída'!C:C,Saldo!$B11)</f>
        <v>2</v>
      </c>
      <c r="E11" s="7">
        <f t="shared" si="0"/>
        <v>48</v>
      </c>
      <c r="F11" s="7" t="str">
        <f t="shared" si="1"/>
        <v>Ok</v>
      </c>
      <c r="H11" s="7"/>
    </row>
    <row r="12" spans="2:9" x14ac:dyDescent="0.25">
      <c r="B12" s="6" t="s">
        <v>21</v>
      </c>
      <c r="C12" s="7">
        <f>SUMIFS('Entrada e Saída'!E:E,'Entrada e Saída'!D:D,Saldo!$C$3,'Entrada e Saída'!C:C,Saldo!$B12)</f>
        <v>20</v>
      </c>
      <c r="D12" s="7">
        <f>SUMIFS('Entrada e Saída'!E:E,'Entrada e Saída'!D:D,Saldo!$D$3,'Entrada e Saída'!C:C,Saldo!$B12)</f>
        <v>0</v>
      </c>
      <c r="E12" s="7">
        <f t="shared" si="0"/>
        <v>20</v>
      </c>
      <c r="F12" s="7" t="str">
        <f t="shared" si="1"/>
        <v>Ok</v>
      </c>
      <c r="H12" s="7"/>
    </row>
    <row r="13" spans="2:9" x14ac:dyDescent="0.25">
      <c r="B13" s="6" t="s">
        <v>22</v>
      </c>
      <c r="C13" s="7">
        <f>SUMIFS('Entrada e Saída'!E:E,'Entrada e Saída'!D:D,Saldo!$C$3,'Entrada e Saída'!C:C,Saldo!$B13)</f>
        <v>25</v>
      </c>
      <c r="D13" s="7">
        <f>SUMIFS('Entrada e Saída'!E:E,'Entrada e Saída'!D:D,Saldo!$D$3,'Entrada e Saída'!C:C,Saldo!$B13)</f>
        <v>0</v>
      </c>
      <c r="E13" s="7">
        <f t="shared" si="0"/>
        <v>25</v>
      </c>
      <c r="F13" s="7" t="str">
        <f t="shared" si="1"/>
        <v>Ok</v>
      </c>
      <c r="H13" s="7"/>
    </row>
    <row r="14" spans="2:9" x14ac:dyDescent="0.25">
      <c r="B14" s="6" t="s">
        <v>5</v>
      </c>
      <c r="C14" s="7">
        <f>SUMIFS('Entrada e Saída'!E:E,'Entrada e Saída'!D:D,Saldo!$C$3,'Entrada e Saída'!C:C,Saldo!$B14)</f>
        <v>30</v>
      </c>
      <c r="D14" s="7">
        <f>SUMIFS('Entrada e Saída'!E:E,'Entrada e Saída'!D:D,Saldo!$D$3,'Entrada e Saída'!C:C,Saldo!$B14)</f>
        <v>0</v>
      </c>
      <c r="E14" s="7">
        <f t="shared" si="0"/>
        <v>30</v>
      </c>
      <c r="F14" s="7" t="str">
        <f t="shared" si="1"/>
        <v>Ok</v>
      </c>
      <c r="H14" s="7"/>
    </row>
    <row r="15" spans="2:9" x14ac:dyDescent="0.25">
      <c r="B15" s="6" t="s">
        <v>6</v>
      </c>
      <c r="C15" s="7">
        <f>SUMIFS('Entrada e Saída'!E:E,'Entrada e Saída'!D:D,Saldo!$C$3,'Entrada e Saída'!C:C,Saldo!$B15)</f>
        <v>30</v>
      </c>
      <c r="D15" s="7">
        <f>SUMIFS('Entrada e Saída'!E:E,'Entrada e Saída'!D:D,Saldo!$D$3,'Entrada e Saída'!C:C,Saldo!$B15)</f>
        <v>0</v>
      </c>
      <c r="E15" s="7">
        <f t="shared" si="0"/>
        <v>30</v>
      </c>
      <c r="F15" s="7" t="str">
        <f t="shared" si="1"/>
        <v>Ok</v>
      </c>
      <c r="H15" s="7"/>
    </row>
    <row r="16" spans="2:9" x14ac:dyDescent="0.25">
      <c r="B16" s="6" t="s">
        <v>7</v>
      </c>
      <c r="C16" s="7">
        <f>SUMIFS('Entrada e Saída'!E:E,'Entrada e Saída'!D:D,Saldo!$C$3,'Entrada e Saída'!C:C,Saldo!$B16)</f>
        <v>25</v>
      </c>
      <c r="D16" s="7">
        <f>SUMIFS('Entrada e Saída'!E:E,'Entrada e Saída'!D:D,Saldo!$D$3,'Entrada e Saída'!C:C,Saldo!$B16)</f>
        <v>0</v>
      </c>
      <c r="E16" s="7">
        <f t="shared" si="0"/>
        <v>25</v>
      </c>
      <c r="F16" s="7" t="str">
        <f t="shared" si="1"/>
        <v>Ok</v>
      </c>
      <c r="H16" s="7"/>
    </row>
    <row r="17" spans="2:8" x14ac:dyDescent="0.25">
      <c r="B17" s="6" t="s">
        <v>8</v>
      </c>
      <c r="C17" s="7">
        <f>SUMIFS('Entrada e Saída'!E:E,'Entrada e Saída'!D:D,Saldo!$C$3,'Entrada e Saída'!C:C,Saldo!$B17)</f>
        <v>25</v>
      </c>
      <c r="D17" s="7">
        <f>SUMIFS('Entrada e Saída'!E:E,'Entrada e Saída'!D:D,Saldo!$D$3,'Entrada e Saída'!C:C,Saldo!$B17)</f>
        <v>0</v>
      </c>
      <c r="E17" s="7">
        <f t="shared" si="0"/>
        <v>25</v>
      </c>
      <c r="F17" s="7" t="str">
        <f t="shared" si="1"/>
        <v>Ok</v>
      </c>
      <c r="H17" s="7"/>
    </row>
    <row r="18" spans="2:8" x14ac:dyDescent="0.25">
      <c r="B18" s="6" t="s">
        <v>9</v>
      </c>
      <c r="C18" s="7">
        <f>SUMIFS('Entrada e Saída'!E:E,'Entrada e Saída'!D:D,Saldo!$C$3,'Entrada e Saída'!C:C,Saldo!$B18)</f>
        <v>25</v>
      </c>
      <c r="D18" s="7">
        <f>SUMIFS('Entrada e Saída'!E:E,'Entrada e Saída'!D:D,Saldo!$D$3,'Entrada e Saída'!C:C,Saldo!$B18)</f>
        <v>21</v>
      </c>
      <c r="E18" s="7">
        <f t="shared" si="0"/>
        <v>4</v>
      </c>
      <c r="F18" s="7" t="str">
        <f t="shared" si="1"/>
        <v>Comprar</v>
      </c>
      <c r="H18" s="7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Entrada e Saída</vt:lpstr>
      <vt:lpstr>Saldo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Odirlei Guilherme</dc:creator>
  <cp:lastModifiedBy>Odirlei Guilherme</cp:lastModifiedBy>
  <dcterms:created xsi:type="dcterms:W3CDTF">2026-10-21T03:08:36Z</dcterms:created>
  <dcterms:modified xsi:type="dcterms:W3CDTF">2026-10-23T20:41:18Z</dcterms:modified>
</cp:coreProperties>
</file>