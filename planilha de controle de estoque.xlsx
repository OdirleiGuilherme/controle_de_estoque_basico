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irlei Guilherme\Desktop\controle_de_estoque_basico\"/>
    </mc:Choice>
  </mc:AlternateContent>
  <xr:revisionPtr revIDLastSave="0" documentId="8_{CD26C3DD-4E75-48E9-BC7E-91689E48033A}" xr6:coauthVersionLast="47" xr6:coauthVersionMax="47" xr10:uidLastSave="{00000000-0000-0000-0000-000000000000}"/>
  <bookViews>
    <workbookView xWindow="20280" yWindow="-135" windowWidth="20730" windowHeight="11160" activeTab="2" xr2:uid="{FB90DC12-CE7E-421E-A7F9-F06FD8601840}"/>
  </bookViews>
  <sheets>
    <sheet name="Entrada e Saída" sheetId="1" r:id="rId1"/>
    <sheet name="Saldo" sheetId="2" r:id="rId2"/>
    <sheet name="Menu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4" i="2"/>
  <c r="C5" i="2"/>
  <c r="C6" i="2"/>
  <c r="C7" i="2"/>
  <c r="C8" i="2"/>
  <c r="C9" i="2"/>
  <c r="C10" i="2"/>
  <c r="E10" i="2" s="1"/>
  <c r="F10" i="2" s="1"/>
  <c r="C11" i="2"/>
  <c r="E11" i="2" s="1"/>
  <c r="F11" i="2" s="1"/>
  <c r="C12" i="2"/>
  <c r="E12" i="2" s="1"/>
  <c r="F12" i="2" s="1"/>
  <c r="C13" i="2"/>
  <c r="C14" i="2"/>
  <c r="C15" i="2"/>
  <c r="C16" i="2"/>
  <c r="C17" i="2"/>
  <c r="C18" i="2"/>
  <c r="C4" i="2"/>
  <c r="E4" i="2" l="1"/>
  <c r="F4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9" i="2"/>
  <c r="F9" i="2" s="1"/>
  <c r="E8" i="2"/>
  <c r="F8" i="2" s="1"/>
  <c r="E7" i="2"/>
  <c r="F7" i="2" s="1"/>
  <c r="E5" i="2"/>
  <c r="F5" i="2" s="1"/>
  <c r="E6" i="2"/>
  <c r="F6" i="2" s="1"/>
</calcChain>
</file>

<file path=xl/sharedStrings.xml><?xml version="1.0" encoding="utf-8"?>
<sst xmlns="http://schemas.openxmlformats.org/spreadsheetml/2006/main" count="80" uniqueCount="27">
  <si>
    <t>Produto</t>
  </si>
  <si>
    <t xml:space="preserve">Status </t>
  </si>
  <si>
    <t>Quantidade</t>
  </si>
  <si>
    <t>Data</t>
  </si>
  <si>
    <t>Entrada</t>
  </si>
  <si>
    <t>microSDHC 2GB</t>
  </si>
  <si>
    <t>microSDHC 4GB</t>
  </si>
  <si>
    <t>microSDHC 8GB</t>
  </si>
  <si>
    <t>microSDHC 16GB</t>
  </si>
  <si>
    <t>microSDHC 32GB</t>
  </si>
  <si>
    <t>Produtos</t>
  </si>
  <si>
    <t>Saída</t>
  </si>
  <si>
    <t>Saldo</t>
  </si>
  <si>
    <t>Cabo USB A</t>
  </si>
  <si>
    <t>Cabo USB B</t>
  </si>
  <si>
    <t>Cabo USB C</t>
  </si>
  <si>
    <t>Cabo USB Mini</t>
  </si>
  <si>
    <t>Carregador Parede</t>
  </si>
  <si>
    <t>Carregador Indução</t>
  </si>
  <si>
    <t>Carregador Power Bank</t>
  </si>
  <si>
    <t>Carregador Veícular</t>
  </si>
  <si>
    <t>Capa Celular Samsung</t>
  </si>
  <si>
    <t>Capa Celular iPhone 17 Pro</t>
  </si>
  <si>
    <t>Status</t>
  </si>
  <si>
    <t>Mínimo</t>
  </si>
  <si>
    <t>Controle de Estoque</t>
  </si>
  <si>
    <t>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</si>
</sst>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20"/>
      <color rgb="FF00FF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8DE6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9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0" fillId="4" borderId="0" xfId="0" applyFill="1"/>
    <xf numFmtId="0" fontId="4" fillId="5" borderId="0" xfId="0" applyFont="1" applyFill="1" applyAlignment="1">
      <alignment horizontal="left" vertical="center" indent="7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5">
    <dxf>
      <font>
        <b/>
        <i val="0"/>
        <color rgb="FFFF0000"/>
      </font>
      <fill>
        <patternFill patternType="solid">
          <fgColor theme="5" tint="0.79998168889431442"/>
          <bgColor theme="5" tint="0.79998168889431442"/>
        </patternFill>
      </fill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FF00"/>
      <color rgb="FF08DE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Saldo!A1"/><Relationship Id="rId1" Type="http://schemas.openxmlformats.org/officeDocument/2006/relationships/hyperlink" Target="#'Entrada e Sa&#237;d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161925</xdr:rowOff>
    </xdr:from>
    <xdr:to>
      <xdr:col>5</xdr:col>
      <xdr:colOff>685800</xdr:colOff>
      <xdr:row>0</xdr:row>
      <xdr:rowOff>447675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6FB62C-8CB8-4CE0-B4A5-04FDA0CF21D3}"/>
            </a:ext>
          </a:extLst>
        </xdr:cNvPr>
        <xdr:cNvSpPr/>
      </xdr:nvSpPr>
      <xdr:spPr>
        <a:xfrm>
          <a:off x="3762375" y="161925"/>
          <a:ext cx="1743075" cy="28575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Menu </a:t>
          </a:r>
          <a:r>
            <a:rPr lang="pt-BR" sz="1400" baseline="0"/>
            <a:t>Principal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578427</xdr:colOff>
      <xdr:row>0</xdr:row>
      <xdr:rowOff>128155</xdr:rowOff>
    </xdr:from>
    <xdr:to>
      <xdr:col>6</xdr:col>
      <xdr:colOff>492702</xdr:colOff>
      <xdr:row>0</xdr:row>
      <xdr:rowOff>413905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E48053-2900-4D27-80E6-9FCE5E7E196A}"/>
            </a:ext>
          </a:extLst>
        </xdr:cNvPr>
        <xdr:cNvSpPr/>
      </xdr:nvSpPr>
      <xdr:spPr>
        <a:xfrm>
          <a:off x="3461904" y="128155"/>
          <a:ext cx="1732684" cy="28575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Menu Principal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4</xdr:row>
      <xdr:rowOff>123825</xdr:rowOff>
    </xdr:from>
    <xdr:to>
      <xdr:col>5</xdr:col>
      <xdr:colOff>171450</xdr:colOff>
      <xdr:row>8</xdr:row>
      <xdr:rowOff>66675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F571D3-3CD8-71EA-93A9-E74AD0201B0B}"/>
            </a:ext>
          </a:extLst>
        </xdr:cNvPr>
        <xdr:cNvSpPr/>
      </xdr:nvSpPr>
      <xdr:spPr>
        <a:xfrm>
          <a:off x="342900" y="1295400"/>
          <a:ext cx="2876550" cy="70485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Entrada e Saída</a:t>
          </a:r>
        </a:p>
      </xdr:txBody>
    </xdr:sp>
    <xdr:clientData/>
  </xdr:twoCellAnchor>
  <xdr:twoCellAnchor>
    <xdr:from>
      <xdr:col>0</xdr:col>
      <xdr:colOff>352425</xdr:colOff>
      <xdr:row>9</xdr:row>
      <xdr:rowOff>66675</xdr:rowOff>
    </xdr:from>
    <xdr:to>
      <xdr:col>5</xdr:col>
      <xdr:colOff>180975</xdr:colOff>
      <xdr:row>13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D00603-2359-4280-A95F-C80C5182EC8F}"/>
            </a:ext>
          </a:extLst>
        </xdr:cNvPr>
        <xdr:cNvSpPr/>
      </xdr:nvSpPr>
      <xdr:spPr>
        <a:xfrm>
          <a:off x="352425" y="2190750"/>
          <a:ext cx="2876550" cy="70485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Saldo</a:t>
          </a:r>
        </a:p>
      </xdr:txBody>
    </xdr:sp>
    <xdr:clientData/>
  </xdr:twoCellAnchor>
  <xdr:twoCellAnchor>
    <xdr:from>
      <xdr:col>6</xdr:col>
      <xdr:colOff>95250</xdr:colOff>
      <xdr:row>0</xdr:row>
      <xdr:rowOff>171450</xdr:rowOff>
    </xdr:from>
    <xdr:to>
      <xdr:col>9</xdr:col>
      <xdr:colOff>9525</xdr:colOff>
      <xdr:row>0</xdr:row>
      <xdr:rowOff>457200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1C9374-5998-4520-A4E4-3EBDFE388166}"/>
            </a:ext>
          </a:extLst>
        </xdr:cNvPr>
        <xdr:cNvSpPr/>
      </xdr:nvSpPr>
      <xdr:spPr>
        <a:xfrm>
          <a:off x="3752850" y="171450"/>
          <a:ext cx="1743075" cy="28575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/>
            <a:t>Menu </a:t>
          </a:r>
          <a:r>
            <a:rPr lang="pt-BR" sz="1400"/>
            <a:t>Principal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F923C0-43EC-4309-9C6B-28398D46868F}" name="Tabela5" displayName="Tabela5" ref="B3:E30" totalsRowShown="0" headerRowDxfId="1">
  <autoFilter ref="B3:E30" xr:uid="{36F923C0-43EC-4309-9C6B-28398D46868F}"/>
  <tableColumns count="4">
    <tableColumn id="1" xr3:uid="{9A824ECF-4997-4FB3-8467-CA5F746211D1}" name="Data" dataDxfId="4"/>
    <tableColumn id="2" xr3:uid="{6F519A01-4485-4303-A5F9-1109AE4DC2DA}" name="Produto" dataDxfId="3"/>
    <tableColumn id="3" xr3:uid="{F0E480FA-F451-40F8-AC3B-1DC003CAD38F}" name="Status " dataDxfId="2"/>
    <tableColumn id="4" xr3:uid="{853DA4E0-565B-4E84-ACE2-FAB8B85CA4C3}" name="Quantidad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D64A-E144-47FE-A0E9-95F7C892ACF1}">
  <dimension ref="A1:E30"/>
  <sheetViews>
    <sheetView showGridLines="0" showRowColHeaders="0" zoomScaleNormal="100" workbookViewId="0">
      <selection activeCell="G7" sqref="G7"/>
    </sheetView>
  </sheetViews>
  <sheetFormatPr defaultRowHeight="15" x14ac:dyDescent="0.25"/>
  <cols>
    <col min="2" max="2" width="10.7109375" bestFit="1" customWidth="1"/>
    <col min="3" max="3" width="25" bestFit="1" customWidth="1"/>
    <col min="4" max="4" width="11.42578125" bestFit="1" customWidth="1"/>
    <col min="5" max="5" width="16" style="1" bestFit="1" customWidth="1"/>
    <col min="6" max="6" width="16" bestFit="1" customWidth="1"/>
  </cols>
  <sheetData>
    <row r="1" spans="1:5" s="13" customFormat="1" ht="46.5" customHeight="1" x14ac:dyDescent="0.25">
      <c r="A1" s="11" t="s">
        <v>25</v>
      </c>
      <c r="B1" s="12"/>
    </row>
    <row r="2" spans="1:5" s="15" customFormat="1" ht="14.25" customHeight="1" x14ac:dyDescent="0.25"/>
    <row r="3" spans="1:5" x14ac:dyDescent="0.25">
      <c r="B3" s="2" t="s">
        <v>3</v>
      </c>
      <c r="C3" s="2" t="s">
        <v>0</v>
      </c>
      <c r="D3" s="2" t="s">
        <v>1</v>
      </c>
      <c r="E3" s="2" t="s">
        <v>2</v>
      </c>
    </row>
    <row r="4" spans="1:5" x14ac:dyDescent="0.25">
      <c r="B4" s="3">
        <v>46315</v>
      </c>
      <c r="C4" s="4" t="s">
        <v>13</v>
      </c>
      <c r="D4" s="1" t="s">
        <v>4</v>
      </c>
      <c r="E4">
        <v>15</v>
      </c>
    </row>
    <row r="5" spans="1:5" x14ac:dyDescent="0.25">
      <c r="B5" s="3">
        <v>46315</v>
      </c>
      <c r="C5" s="4" t="s">
        <v>14</v>
      </c>
      <c r="D5" s="1" t="s">
        <v>4</v>
      </c>
      <c r="E5">
        <v>25</v>
      </c>
    </row>
    <row r="6" spans="1:5" x14ac:dyDescent="0.25">
      <c r="B6" s="3">
        <v>46315</v>
      </c>
      <c r="C6" s="4" t="s">
        <v>15</v>
      </c>
      <c r="D6" s="1" t="s">
        <v>4</v>
      </c>
      <c r="E6">
        <v>50</v>
      </c>
    </row>
    <row r="7" spans="1:5" x14ac:dyDescent="0.25">
      <c r="B7" s="3">
        <v>46317</v>
      </c>
      <c r="C7" s="4" t="s">
        <v>16</v>
      </c>
      <c r="D7" s="1" t="s">
        <v>4</v>
      </c>
      <c r="E7">
        <v>15</v>
      </c>
    </row>
    <row r="8" spans="1:5" x14ac:dyDescent="0.25">
      <c r="B8" s="3">
        <v>46318</v>
      </c>
      <c r="C8" s="4" t="s">
        <v>17</v>
      </c>
      <c r="D8" s="1" t="s">
        <v>4</v>
      </c>
      <c r="E8">
        <v>60</v>
      </c>
    </row>
    <row r="9" spans="1:5" x14ac:dyDescent="0.25">
      <c r="B9" s="3">
        <v>46318</v>
      </c>
      <c r="C9" s="4" t="s">
        <v>18</v>
      </c>
      <c r="D9" s="1" t="s">
        <v>4</v>
      </c>
      <c r="E9">
        <v>15</v>
      </c>
    </row>
    <row r="10" spans="1:5" x14ac:dyDescent="0.25">
      <c r="B10" s="3">
        <v>46318</v>
      </c>
      <c r="C10" s="4" t="s">
        <v>19</v>
      </c>
      <c r="D10" s="1" t="s">
        <v>4</v>
      </c>
      <c r="E10">
        <v>30</v>
      </c>
    </row>
    <row r="11" spans="1:5" x14ac:dyDescent="0.25">
      <c r="B11" s="3">
        <v>46318</v>
      </c>
      <c r="C11" s="4" t="s">
        <v>20</v>
      </c>
      <c r="D11" s="1" t="s">
        <v>4</v>
      </c>
      <c r="E11">
        <v>50</v>
      </c>
    </row>
    <row r="12" spans="1:5" x14ac:dyDescent="0.25">
      <c r="B12" s="3">
        <v>46318</v>
      </c>
      <c r="C12" s="4" t="s">
        <v>21</v>
      </c>
      <c r="D12" s="1" t="s">
        <v>4</v>
      </c>
      <c r="E12">
        <v>20</v>
      </c>
    </row>
    <row r="13" spans="1:5" x14ac:dyDescent="0.25">
      <c r="B13" s="3">
        <v>46321</v>
      </c>
      <c r="C13" s="4" t="s">
        <v>22</v>
      </c>
      <c r="D13" s="1" t="s">
        <v>4</v>
      </c>
      <c r="E13">
        <v>25</v>
      </c>
    </row>
    <row r="14" spans="1:5" x14ac:dyDescent="0.25">
      <c r="B14" s="3">
        <v>46323</v>
      </c>
      <c r="C14" s="4" t="s">
        <v>5</v>
      </c>
      <c r="D14" s="1" t="s">
        <v>4</v>
      </c>
      <c r="E14">
        <v>30</v>
      </c>
    </row>
    <row r="15" spans="1:5" x14ac:dyDescent="0.25">
      <c r="B15" s="3">
        <v>46323</v>
      </c>
      <c r="C15" s="4" t="s">
        <v>6</v>
      </c>
      <c r="D15" s="1" t="s">
        <v>4</v>
      </c>
      <c r="E15">
        <v>30</v>
      </c>
    </row>
    <row r="16" spans="1:5" x14ac:dyDescent="0.25">
      <c r="B16" s="3">
        <v>46323</v>
      </c>
      <c r="C16" s="4" t="s">
        <v>7</v>
      </c>
      <c r="D16" s="1" t="s">
        <v>4</v>
      </c>
      <c r="E16">
        <v>25</v>
      </c>
    </row>
    <row r="17" spans="2:5" x14ac:dyDescent="0.25">
      <c r="B17" s="3">
        <v>46323</v>
      </c>
      <c r="C17" s="4" t="s">
        <v>8</v>
      </c>
      <c r="D17" s="1" t="s">
        <v>4</v>
      </c>
      <c r="E17">
        <v>25</v>
      </c>
    </row>
    <row r="18" spans="2:5" x14ac:dyDescent="0.25">
      <c r="B18" s="3">
        <v>46323</v>
      </c>
      <c r="C18" s="4" t="s">
        <v>9</v>
      </c>
      <c r="D18" s="1" t="s">
        <v>4</v>
      </c>
      <c r="E18">
        <v>25</v>
      </c>
    </row>
    <row r="19" spans="2:5" x14ac:dyDescent="0.25">
      <c r="B19" s="3">
        <v>46324</v>
      </c>
      <c r="C19" s="4" t="s">
        <v>20</v>
      </c>
      <c r="D19" s="1" t="s">
        <v>11</v>
      </c>
      <c r="E19">
        <v>2</v>
      </c>
    </row>
    <row r="20" spans="2:5" x14ac:dyDescent="0.25">
      <c r="B20" s="3">
        <v>46324</v>
      </c>
      <c r="C20" s="4" t="s">
        <v>16</v>
      </c>
      <c r="D20" s="1" t="s">
        <v>4</v>
      </c>
      <c r="E20" s="1">
        <v>10</v>
      </c>
    </row>
    <row r="21" spans="2:5" x14ac:dyDescent="0.25">
      <c r="B21" s="3">
        <v>46324</v>
      </c>
      <c r="C21" s="4" t="s">
        <v>13</v>
      </c>
      <c r="D21" s="1" t="s">
        <v>11</v>
      </c>
      <c r="E21" s="1">
        <v>3</v>
      </c>
    </row>
    <row r="22" spans="2:5" x14ac:dyDescent="0.25">
      <c r="B22" s="3">
        <v>46325</v>
      </c>
      <c r="C22" s="4" t="s">
        <v>14</v>
      </c>
      <c r="D22" s="1" t="s">
        <v>26</v>
      </c>
      <c r="E22" s="1">
        <v>4</v>
      </c>
    </row>
    <row r="23" spans="2:5" x14ac:dyDescent="0.25">
      <c r="B23" s="3">
        <v>46325</v>
      </c>
      <c r="C23" s="4" t="s">
        <v>15</v>
      </c>
      <c r="D23" s="1" t="s">
        <v>11</v>
      </c>
      <c r="E23" s="1">
        <v>10</v>
      </c>
    </row>
    <row r="24" spans="2:5" x14ac:dyDescent="0.25">
      <c r="B24" s="3">
        <v>46327</v>
      </c>
      <c r="C24" s="4" t="s">
        <v>9</v>
      </c>
      <c r="D24" s="1" t="s">
        <v>11</v>
      </c>
      <c r="E24" s="1">
        <v>21</v>
      </c>
    </row>
    <row r="25" spans="2:5" x14ac:dyDescent="0.25">
      <c r="B25" s="3">
        <v>46327</v>
      </c>
      <c r="C25" s="4" t="s">
        <v>18</v>
      </c>
      <c r="D25" s="1" t="s">
        <v>11</v>
      </c>
      <c r="E25" s="1">
        <v>12</v>
      </c>
    </row>
    <row r="26" spans="2:5" x14ac:dyDescent="0.25">
      <c r="B26" s="3">
        <v>46327</v>
      </c>
      <c r="C26" s="4" t="s">
        <v>22</v>
      </c>
      <c r="D26" s="1" t="s">
        <v>11</v>
      </c>
      <c r="E26" s="1">
        <v>21</v>
      </c>
    </row>
    <row r="27" spans="2:5" x14ac:dyDescent="0.25">
      <c r="B27" s="3">
        <v>46327</v>
      </c>
      <c r="C27" s="4" t="s">
        <v>18</v>
      </c>
      <c r="D27" s="1" t="s">
        <v>4</v>
      </c>
      <c r="E27" s="1">
        <v>28</v>
      </c>
    </row>
    <row r="28" spans="2:5" x14ac:dyDescent="0.25">
      <c r="B28" s="3">
        <v>46327</v>
      </c>
      <c r="C28" s="4" t="s">
        <v>15</v>
      </c>
      <c r="D28" s="1" t="s">
        <v>11</v>
      </c>
      <c r="E28" s="1">
        <v>37</v>
      </c>
    </row>
    <row r="29" spans="2:5" x14ac:dyDescent="0.25">
      <c r="B29" s="3">
        <v>46327</v>
      </c>
      <c r="C29" s="4" t="s">
        <v>16</v>
      </c>
      <c r="D29" s="1" t="s">
        <v>11</v>
      </c>
      <c r="E29" s="1">
        <v>21</v>
      </c>
    </row>
    <row r="30" spans="2:5" x14ac:dyDescent="0.25">
      <c r="B30" s="3"/>
      <c r="C30" s="4"/>
      <c r="D30" s="1"/>
    </row>
  </sheetData>
  <phoneticPr fontId="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6A7C-358A-4193-853C-B78C12F1FBEE}">
  <dimension ref="A1:I18"/>
  <sheetViews>
    <sheetView showGridLines="0" showRowColHeaders="0" zoomScaleNormal="100" workbookViewId="0">
      <selection activeCell="H8" sqref="H8"/>
    </sheetView>
  </sheetViews>
  <sheetFormatPr defaultRowHeight="15" x14ac:dyDescent="0.25"/>
  <cols>
    <col min="2" max="2" width="25" bestFit="1" customWidth="1"/>
  </cols>
  <sheetData>
    <row r="1" spans="1:9" s="13" customFormat="1" ht="46.5" customHeight="1" x14ac:dyDescent="0.25">
      <c r="A1" s="11" t="s">
        <v>25</v>
      </c>
      <c r="B1" s="12"/>
    </row>
    <row r="3" spans="1:9" x14ac:dyDescent="0.25">
      <c r="B3" s="5" t="s">
        <v>10</v>
      </c>
      <c r="C3" s="5" t="s">
        <v>4</v>
      </c>
      <c r="D3" s="5" t="s">
        <v>11</v>
      </c>
      <c r="E3" s="5" t="s">
        <v>12</v>
      </c>
      <c r="F3" s="5" t="s">
        <v>23</v>
      </c>
      <c r="H3" s="7" t="s">
        <v>24</v>
      </c>
      <c r="I3" s="8">
        <v>0.2</v>
      </c>
    </row>
    <row r="4" spans="1:9" x14ac:dyDescent="0.25">
      <c r="B4" s="9" t="s">
        <v>13</v>
      </c>
      <c r="C4" s="9">
        <f>SUMIFS('Entrada e Saída'!E:E,'Entrada e Saída'!D:D,Saldo!$C$3,'Entrada e Saída'!C:C,Saldo!$B4)</f>
        <v>15</v>
      </c>
      <c r="D4" s="9">
        <f>SUMIFS('Entrada e Saída'!E:E,'Entrada e Saída'!D:D,Saldo!$D$3,'Entrada e Saída'!C:C,Saldo!$B4)</f>
        <v>3</v>
      </c>
      <c r="E4" s="9">
        <f>C4-D4</f>
        <v>12</v>
      </c>
      <c r="F4" s="9" t="str">
        <f>IF(E4&lt;C4*$I$3,"Comprar","Ok")</f>
        <v>Ok</v>
      </c>
      <c r="H4" s="6"/>
    </row>
    <row r="5" spans="1:9" x14ac:dyDescent="0.25">
      <c r="B5" s="9" t="s">
        <v>14</v>
      </c>
      <c r="C5" s="9">
        <f>SUMIFS('Entrada e Saída'!E:E,'Entrada e Saída'!D:D,Saldo!$C$3,'Entrada e Saída'!C:C,Saldo!$B5)</f>
        <v>25</v>
      </c>
      <c r="D5" s="9">
        <f>SUMIFS('Entrada e Saída'!E:E,'Entrada e Saída'!D:D,Saldo!$D$3,'Entrada e Saída'!C:C,Saldo!$B5)</f>
        <v>0</v>
      </c>
      <c r="E5" s="9">
        <f t="shared" ref="E5:E18" si="0">C5-D5</f>
        <v>25</v>
      </c>
      <c r="F5" s="9" t="str">
        <f t="shared" ref="F5:F18" si="1">IF(E5&lt;C5*$I$3,"Comprar","Ok")</f>
        <v>Ok</v>
      </c>
      <c r="H5" s="6"/>
    </row>
    <row r="6" spans="1:9" x14ac:dyDescent="0.25">
      <c r="B6" s="9" t="s">
        <v>15</v>
      </c>
      <c r="C6" s="9">
        <f>SUMIFS('Entrada e Saída'!E:E,'Entrada e Saída'!D:D,Saldo!$C$3,'Entrada e Saída'!C:C,Saldo!$B6)</f>
        <v>50</v>
      </c>
      <c r="D6" s="9">
        <f>SUMIFS('Entrada e Saída'!E:E,'Entrada e Saída'!D:D,Saldo!$D$3,'Entrada e Saída'!C:C,Saldo!$B6)</f>
        <v>47</v>
      </c>
      <c r="E6" s="9">
        <f t="shared" si="0"/>
        <v>3</v>
      </c>
      <c r="F6" s="9" t="str">
        <f t="shared" si="1"/>
        <v>Comprar</v>
      </c>
      <c r="H6" s="6"/>
    </row>
    <row r="7" spans="1:9" x14ac:dyDescent="0.25">
      <c r="B7" s="9" t="s">
        <v>16</v>
      </c>
      <c r="C7" s="9">
        <f>SUMIFS('Entrada e Saída'!E:E,'Entrada e Saída'!D:D,Saldo!$C$3,'Entrada e Saída'!C:C,Saldo!$B7)</f>
        <v>25</v>
      </c>
      <c r="D7" s="9">
        <f>SUMIFS('Entrada e Saída'!E:E,'Entrada e Saída'!D:D,Saldo!$D$3,'Entrada e Saída'!C:C,Saldo!$B7)</f>
        <v>21</v>
      </c>
      <c r="E7" s="9">
        <f t="shared" si="0"/>
        <v>4</v>
      </c>
      <c r="F7" s="9" t="str">
        <f t="shared" si="1"/>
        <v>Comprar</v>
      </c>
      <c r="H7" s="6"/>
    </row>
    <row r="8" spans="1:9" x14ac:dyDescent="0.25">
      <c r="B8" s="9" t="s">
        <v>17</v>
      </c>
      <c r="C8" s="9">
        <f>SUMIFS('Entrada e Saída'!E:E,'Entrada e Saída'!D:D,Saldo!$C$3,'Entrada e Saída'!C:C,Saldo!$B8)</f>
        <v>60</v>
      </c>
      <c r="D8" s="9">
        <f>SUMIFS('Entrada e Saída'!E:E,'Entrada e Saída'!D:D,Saldo!$D$3,'Entrada e Saída'!C:C,Saldo!$B8)</f>
        <v>0</v>
      </c>
      <c r="E8" s="9">
        <f t="shared" si="0"/>
        <v>60</v>
      </c>
      <c r="F8" s="9" t="str">
        <f t="shared" si="1"/>
        <v>Ok</v>
      </c>
      <c r="H8" s="6"/>
    </row>
    <row r="9" spans="1:9" x14ac:dyDescent="0.25">
      <c r="B9" s="9" t="s">
        <v>18</v>
      </c>
      <c r="C9" s="9">
        <f>SUMIFS('Entrada e Saída'!E:E,'Entrada e Saída'!D:D,Saldo!$C$3,'Entrada e Saída'!C:C,Saldo!$B9)</f>
        <v>43</v>
      </c>
      <c r="D9" s="9">
        <f>SUMIFS('Entrada e Saída'!E:E,'Entrada e Saída'!D:D,Saldo!$D$3,'Entrada e Saída'!C:C,Saldo!$B9)</f>
        <v>12</v>
      </c>
      <c r="E9" s="9">
        <f t="shared" si="0"/>
        <v>31</v>
      </c>
      <c r="F9" s="9" t="str">
        <f t="shared" si="1"/>
        <v>Ok</v>
      </c>
      <c r="H9" s="6"/>
    </row>
    <row r="10" spans="1:9" x14ac:dyDescent="0.25">
      <c r="B10" s="9" t="s">
        <v>19</v>
      </c>
      <c r="C10" s="9">
        <f>SUMIFS('Entrada e Saída'!E:E,'Entrada e Saída'!D:D,Saldo!$C$3,'Entrada e Saída'!C:C,Saldo!$B10)</f>
        <v>30</v>
      </c>
      <c r="D10" s="9">
        <f>SUMIFS('Entrada e Saída'!E:E,'Entrada e Saída'!D:D,Saldo!$D$3,'Entrada e Saída'!C:C,Saldo!$B10)</f>
        <v>0</v>
      </c>
      <c r="E10" s="9">
        <f t="shared" si="0"/>
        <v>30</v>
      </c>
      <c r="F10" s="9" t="str">
        <f t="shared" si="1"/>
        <v>Ok</v>
      </c>
      <c r="H10" s="6"/>
    </row>
    <row r="11" spans="1:9" x14ac:dyDescent="0.25">
      <c r="B11" s="9" t="s">
        <v>20</v>
      </c>
      <c r="C11" s="9">
        <f>SUMIFS('Entrada e Saída'!E:E,'Entrada e Saída'!D:D,Saldo!$C$3,'Entrada e Saída'!C:C,Saldo!$B11)</f>
        <v>50</v>
      </c>
      <c r="D11" s="9">
        <f>SUMIFS('Entrada e Saída'!E:E,'Entrada e Saída'!D:D,Saldo!$D$3,'Entrada e Saída'!C:C,Saldo!$B11)</f>
        <v>2</v>
      </c>
      <c r="E11" s="9">
        <f t="shared" si="0"/>
        <v>48</v>
      </c>
      <c r="F11" s="9" t="str">
        <f t="shared" si="1"/>
        <v>Ok</v>
      </c>
      <c r="H11" s="6"/>
    </row>
    <row r="12" spans="1:9" x14ac:dyDescent="0.25">
      <c r="B12" s="9" t="s">
        <v>21</v>
      </c>
      <c r="C12" s="9">
        <f>SUMIFS('Entrada e Saída'!E:E,'Entrada e Saída'!D:D,Saldo!$C$3,'Entrada e Saída'!C:C,Saldo!$B12)</f>
        <v>20</v>
      </c>
      <c r="D12" s="9">
        <f>SUMIFS('Entrada e Saída'!E:E,'Entrada e Saída'!D:D,Saldo!$D$3,'Entrada e Saída'!C:C,Saldo!$B12)</f>
        <v>0</v>
      </c>
      <c r="E12" s="9">
        <f t="shared" si="0"/>
        <v>20</v>
      </c>
      <c r="F12" s="9" t="str">
        <f t="shared" si="1"/>
        <v>Ok</v>
      </c>
      <c r="H12" s="6"/>
    </row>
    <row r="13" spans="1:9" x14ac:dyDescent="0.25">
      <c r="B13" s="9" t="s">
        <v>22</v>
      </c>
      <c r="C13" s="9">
        <f>SUMIFS('Entrada e Saída'!E:E,'Entrada e Saída'!D:D,Saldo!$C$3,'Entrada e Saída'!C:C,Saldo!$B13)</f>
        <v>25</v>
      </c>
      <c r="D13" s="9">
        <f>SUMIFS('Entrada e Saída'!E:E,'Entrada e Saída'!D:D,Saldo!$D$3,'Entrada e Saída'!C:C,Saldo!$B13)</f>
        <v>21</v>
      </c>
      <c r="E13" s="9">
        <f t="shared" si="0"/>
        <v>4</v>
      </c>
      <c r="F13" s="9" t="str">
        <f t="shared" si="1"/>
        <v>Comprar</v>
      </c>
      <c r="H13" s="6"/>
    </row>
    <row r="14" spans="1:9" x14ac:dyDescent="0.25">
      <c r="B14" s="9" t="s">
        <v>5</v>
      </c>
      <c r="C14" s="9">
        <f>SUMIFS('Entrada e Saída'!E:E,'Entrada e Saída'!D:D,Saldo!$C$3,'Entrada e Saída'!C:C,Saldo!$B14)</f>
        <v>30</v>
      </c>
      <c r="D14" s="9">
        <f>SUMIFS('Entrada e Saída'!E:E,'Entrada e Saída'!D:D,Saldo!$D$3,'Entrada e Saída'!C:C,Saldo!$B14)</f>
        <v>0</v>
      </c>
      <c r="E14" s="9">
        <f t="shared" si="0"/>
        <v>30</v>
      </c>
      <c r="F14" s="9" t="str">
        <f t="shared" si="1"/>
        <v>Ok</v>
      </c>
      <c r="H14" s="6"/>
    </row>
    <row r="15" spans="1:9" x14ac:dyDescent="0.25">
      <c r="B15" s="9" t="s">
        <v>6</v>
      </c>
      <c r="C15" s="9">
        <f>SUMIFS('Entrada e Saída'!E:E,'Entrada e Saída'!D:D,Saldo!$C$3,'Entrada e Saída'!C:C,Saldo!$B15)</f>
        <v>30</v>
      </c>
      <c r="D15" s="9">
        <f>SUMIFS('Entrada e Saída'!E:E,'Entrada e Saída'!D:D,Saldo!$D$3,'Entrada e Saída'!C:C,Saldo!$B15)</f>
        <v>0</v>
      </c>
      <c r="E15" s="9">
        <f t="shared" si="0"/>
        <v>30</v>
      </c>
      <c r="F15" s="9" t="str">
        <f t="shared" si="1"/>
        <v>Ok</v>
      </c>
      <c r="H15" s="6"/>
    </row>
    <row r="16" spans="1:9" x14ac:dyDescent="0.25">
      <c r="B16" s="9" t="s">
        <v>7</v>
      </c>
      <c r="C16" s="9">
        <f>SUMIFS('Entrada e Saída'!E:E,'Entrada e Saída'!D:D,Saldo!$C$3,'Entrada e Saída'!C:C,Saldo!$B16)</f>
        <v>25</v>
      </c>
      <c r="D16" s="9">
        <f>SUMIFS('Entrada e Saída'!E:E,'Entrada e Saída'!D:D,Saldo!$D$3,'Entrada e Saída'!C:C,Saldo!$B16)</f>
        <v>0</v>
      </c>
      <c r="E16" s="9">
        <f t="shared" si="0"/>
        <v>25</v>
      </c>
      <c r="F16" s="9" t="str">
        <f t="shared" si="1"/>
        <v>Ok</v>
      </c>
      <c r="H16" s="6"/>
    </row>
    <row r="17" spans="2:8" x14ac:dyDescent="0.25">
      <c r="B17" s="9" t="s">
        <v>8</v>
      </c>
      <c r="C17" s="9">
        <f>SUMIFS('Entrada e Saída'!E:E,'Entrada e Saída'!D:D,Saldo!$C$3,'Entrada e Saída'!C:C,Saldo!$B17)</f>
        <v>25</v>
      </c>
      <c r="D17" s="9">
        <f>SUMIFS('Entrada e Saída'!E:E,'Entrada e Saída'!D:D,Saldo!$D$3,'Entrada e Saída'!C:C,Saldo!$B17)</f>
        <v>0</v>
      </c>
      <c r="E17" s="9">
        <f t="shared" si="0"/>
        <v>25</v>
      </c>
      <c r="F17" s="9" t="str">
        <f t="shared" si="1"/>
        <v>Ok</v>
      </c>
      <c r="H17" s="6"/>
    </row>
    <row r="18" spans="2:8" x14ac:dyDescent="0.25">
      <c r="B18" s="9" t="s">
        <v>9</v>
      </c>
      <c r="C18" s="9">
        <f>SUMIFS('Entrada e Saída'!E:E,'Entrada e Saída'!D:D,Saldo!$C$3,'Entrada e Saída'!C:C,Saldo!$B18)</f>
        <v>25</v>
      </c>
      <c r="D18" s="9">
        <f>SUMIFS('Entrada e Saída'!E:E,'Entrada e Saída'!D:D,Saldo!$D$3,'Entrada e Saída'!C:C,Saldo!$B18)</f>
        <v>21</v>
      </c>
      <c r="E18" s="9">
        <f t="shared" si="0"/>
        <v>4</v>
      </c>
      <c r="F18" s="9" t="str">
        <f t="shared" si="1"/>
        <v>Comprar</v>
      </c>
      <c r="H18" s="6"/>
    </row>
  </sheetData>
  <conditionalFormatting sqref="B4:F18">
    <cfRule type="expression" dxfId="0" priority="1">
      <formula>$F4="Comprar"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E067-B59C-4FE8-8914-C0AFF7B203DE}">
  <dimension ref="A1:B2"/>
  <sheetViews>
    <sheetView showGridLines="0" showRowColHeaders="0" tabSelected="1" workbookViewId="0">
      <selection activeCell="I14" sqref="I14"/>
    </sheetView>
  </sheetViews>
  <sheetFormatPr defaultRowHeight="15" x14ac:dyDescent="0.25"/>
  <cols>
    <col min="1" max="16384" width="9.140625" style="10"/>
  </cols>
  <sheetData>
    <row r="1" spans="1:2" s="13" customFormat="1" ht="46.5" customHeight="1" x14ac:dyDescent="0.25">
      <c r="A1" s="11" t="s">
        <v>25</v>
      </c>
      <c r="B1" s="12"/>
    </row>
    <row r="2" spans="1:2" s="14" customFormat="1" ht="8.25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Entrada e Saída</vt:lpstr>
      <vt:lpstr>Saldo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Odirlei Guilherme</dc:creator>
  <cp:lastModifiedBy>Odirlei Guilherme</cp:lastModifiedBy>
  <dcterms:created xsi:type="dcterms:W3CDTF">2026-10-21T03:08:36Z</dcterms:created>
  <dcterms:modified xsi:type="dcterms:W3CDTF">2026-10-23T22:22:06Z</dcterms:modified>
</cp:coreProperties>
</file>